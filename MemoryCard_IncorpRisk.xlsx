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art\Downloads\"/>
    </mc:Choice>
  </mc:AlternateContent>
  <xr:revisionPtr revIDLastSave="0" documentId="13_ncr:1_{EDB7964F-FD6E-4CCD-A8F4-99E17C76BAF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ojetos" sheetId="1" r:id="rId1"/>
    <sheet name="Macros" sheetId="2" r:id="rId2"/>
    <sheet name="Premiss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A7" i="2"/>
  <c r="A6" i="2"/>
  <c r="A5" i="2"/>
  <c r="B4" i="2"/>
  <c r="B3" i="2"/>
  <c r="B2" i="2"/>
</calcChain>
</file>

<file path=xl/sharedStrings.xml><?xml version="1.0" encoding="utf-8"?>
<sst xmlns="http://schemas.openxmlformats.org/spreadsheetml/2006/main" count="89" uniqueCount="72">
  <si>
    <t>Empresa</t>
  </si>
  <si>
    <t>Nome do projeto</t>
  </si>
  <si>
    <t>Padrão</t>
  </si>
  <si>
    <t>Numero de unidades</t>
  </si>
  <si>
    <t>Metragem média das unidades</t>
  </si>
  <si>
    <t>Data de lançamento</t>
  </si>
  <si>
    <t>Data de início das obras</t>
  </si>
  <si>
    <t>Data estimada de entrega</t>
  </si>
  <si>
    <t>VGV Total</t>
  </si>
  <si>
    <t>% vendas</t>
  </si>
  <si>
    <t>% recebido de sinal</t>
  </si>
  <si>
    <t>% pré-chaves</t>
  </si>
  <si>
    <t>% pós-chaves</t>
  </si>
  <si>
    <t>% de obras</t>
  </si>
  <si>
    <t>Custo incorrido</t>
  </si>
  <si>
    <t>Custo a incorrer</t>
  </si>
  <si>
    <t>Estoque Atual</t>
  </si>
  <si>
    <t>Pré-chaves recebido</t>
  </si>
  <si>
    <t>Pré-chaves a receber atual</t>
  </si>
  <si>
    <t>Pós-chaves a receber atual</t>
  </si>
  <si>
    <t>Posição de Caixa da SPE</t>
  </si>
  <si>
    <t>Saldo do Financiamento atual liberado</t>
  </si>
  <si>
    <t>Saldo do financiamento total</t>
  </si>
  <si>
    <t>Taxa anual (Fin)</t>
  </si>
  <si>
    <t>Indexador (Fin)</t>
  </si>
  <si>
    <t>% de financiamento do projeto</t>
  </si>
  <si>
    <t>Saldo no inicio (Permuta)</t>
  </si>
  <si>
    <t>Taxa Anual (Permuta)</t>
  </si>
  <si>
    <t>Indexador (Permuta)</t>
  </si>
  <si>
    <t>% de permuta dos recebíveis</t>
  </si>
  <si>
    <t>Nova Era Inc.</t>
  </si>
  <si>
    <t>Empreendimento Aurora</t>
  </si>
  <si>
    <t>Médio</t>
  </si>
  <si>
    <t>2025-09-30</t>
  </si>
  <si>
    <t>2025-12-31</t>
  </si>
  <si>
    <t>2028-06-30</t>
  </si>
  <si>
    <t>CDI</t>
  </si>
  <si>
    <t>INCC</t>
  </si>
  <si>
    <t>Horizonte Fundo</t>
  </si>
  <si>
    <t>Residencial Horizonte</t>
  </si>
  <si>
    <t>Alto</t>
  </si>
  <si>
    <t>2024-04-30</t>
  </si>
  <si>
    <t>2024-07-31</t>
  </si>
  <si>
    <t>2027-07-31</t>
  </si>
  <si>
    <t>Gama Construções</t>
  </si>
  <si>
    <t>Edifício Splendor</t>
  </si>
  <si>
    <t>2023-01-31</t>
  </si>
  <si>
    <t>2023-07-31</t>
  </si>
  <si>
    <t>2026-07-31</t>
  </si>
  <si>
    <t>Vanguard Realty</t>
  </si>
  <si>
    <t>Plaza das Vistas</t>
  </si>
  <si>
    <t>2024-02-29</t>
  </si>
  <si>
    <t>2024-05-31</t>
  </si>
  <si>
    <t>2027-05-31</t>
  </si>
  <si>
    <t>Prime Builders</t>
  </si>
  <si>
    <t>High Line Residencial</t>
  </si>
  <si>
    <t>2023-12-31</t>
  </si>
  <si>
    <t>2026-08-31</t>
  </si>
  <si>
    <t>Babel Corp</t>
  </si>
  <si>
    <t>Torre de Babel (Estressado)</t>
  </si>
  <si>
    <t>2022-12-31</t>
  </si>
  <si>
    <t>2023-05-31</t>
  </si>
  <si>
    <t>2026-05-31</t>
  </si>
  <si>
    <t>Mês/Ano</t>
  </si>
  <si>
    <t>IPCA</t>
  </si>
  <si>
    <t>Parâmetro</t>
  </si>
  <si>
    <t>Valor</t>
  </si>
  <si>
    <t>Data Base da Projeção</t>
  </si>
  <si>
    <t>2026-04-01</t>
  </si>
  <si>
    <t>Desconto Estoque Pronto</t>
  </si>
  <si>
    <t>Velocidade de Vendas (Multiplicador)</t>
  </si>
  <si>
    <t>Corretagem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</si>
</sst>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"/>
  <sheetViews>
    <sheetView workbookViewId="0">
      <selection activeCell="B2" sqref="B2"/>
    </sheetView>
  </sheetViews>
  <sheetFormatPr defaultRowHeight="15.75" x14ac:dyDescent="0.25"/>
  <cols>
    <col min="1" max="1" width="16.875" customWidth="1"/>
    <col min="2" max="2" width="17.875" customWidth="1"/>
    <col min="3" max="3" width="16.875" customWidth="1"/>
    <col min="4" max="4" width="20.875" customWidth="1"/>
    <col min="5" max="5" width="29.875" customWidth="1"/>
    <col min="6" max="6" width="20.875" customWidth="1"/>
    <col min="7" max="8" width="26.875" customWidth="1"/>
    <col min="9" max="10" width="16.875" customWidth="1"/>
    <col min="11" max="11" width="21.875" customWidth="1"/>
    <col min="12" max="14" width="16.875" customWidth="1"/>
    <col min="15" max="15" width="17.875" customWidth="1"/>
    <col min="16" max="16" width="18.875" customWidth="1"/>
    <col min="17" max="17" width="16.875" customWidth="1"/>
    <col min="18" max="18" width="21.875" customWidth="1"/>
    <col min="19" max="20" width="28.875" customWidth="1"/>
    <col min="21" max="21" width="25.875" customWidth="1"/>
    <col min="22" max="22" width="39.875" customWidth="1"/>
    <col min="23" max="23" width="30.875" customWidth="1"/>
    <col min="24" max="24" width="18.875" customWidth="1"/>
    <col min="25" max="25" width="17.875" customWidth="1"/>
    <col min="26" max="26" width="31.875" customWidth="1"/>
    <col min="27" max="27" width="27.875" customWidth="1"/>
    <col min="28" max="28" width="22.875" customWidth="1"/>
    <col min="29" max="29" width="21.875" customWidth="1"/>
    <col min="30" max="30" width="29.87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120</v>
      </c>
      <c r="E2">
        <v>80</v>
      </c>
      <c r="F2" t="s">
        <v>33</v>
      </c>
      <c r="G2" t="s">
        <v>34</v>
      </c>
      <c r="H2" t="s">
        <v>35</v>
      </c>
      <c r="I2">
        <v>120000000</v>
      </c>
      <c r="J2">
        <v>0.35</v>
      </c>
      <c r="K2">
        <v>0.1</v>
      </c>
      <c r="L2">
        <v>0.15</v>
      </c>
      <c r="M2">
        <v>0.75</v>
      </c>
      <c r="N2">
        <v>0.04</v>
      </c>
      <c r="O2" s="3">
        <v>2000000</v>
      </c>
      <c r="P2" s="3">
        <v>43000000</v>
      </c>
      <c r="Q2" s="3">
        <v>78000000</v>
      </c>
      <c r="R2" s="3">
        <v>4500000</v>
      </c>
      <c r="S2" s="3">
        <v>6300000</v>
      </c>
      <c r="T2" s="3">
        <v>31500000</v>
      </c>
      <c r="U2" s="3">
        <v>2500000</v>
      </c>
      <c r="V2" s="3">
        <v>1500000</v>
      </c>
      <c r="W2" s="3">
        <v>36000000</v>
      </c>
      <c r="X2" s="2">
        <v>0.05</v>
      </c>
      <c r="Y2" t="s">
        <v>36</v>
      </c>
      <c r="Z2">
        <v>0.8</v>
      </c>
      <c r="AA2" s="3">
        <v>12000000</v>
      </c>
      <c r="AB2" s="1">
        <v>9.5000000000000001E-2</v>
      </c>
      <c r="AC2" t="s">
        <v>64</v>
      </c>
      <c r="AD2">
        <v>0.1</v>
      </c>
    </row>
    <row r="3" spans="1:30" x14ac:dyDescent="0.25">
      <c r="A3" t="s">
        <v>38</v>
      </c>
      <c r="B3" t="s">
        <v>39</v>
      </c>
      <c r="C3" t="s">
        <v>40</v>
      </c>
      <c r="D3">
        <v>60</v>
      </c>
      <c r="E3">
        <v>150</v>
      </c>
      <c r="F3" t="s">
        <v>41</v>
      </c>
      <c r="G3" t="s">
        <v>42</v>
      </c>
      <c r="H3" t="s">
        <v>43</v>
      </c>
      <c r="I3">
        <v>80000000</v>
      </c>
      <c r="J3">
        <v>0.6</v>
      </c>
      <c r="K3">
        <v>0.1</v>
      </c>
      <c r="L3">
        <v>0.2</v>
      </c>
      <c r="M3">
        <v>0.7</v>
      </c>
      <c r="N3">
        <v>0.5</v>
      </c>
      <c r="O3" s="3">
        <v>17500000</v>
      </c>
      <c r="P3" s="3">
        <v>17500000</v>
      </c>
      <c r="Q3" s="3">
        <v>32000000</v>
      </c>
      <c r="R3" s="3">
        <v>7000000</v>
      </c>
      <c r="S3" s="3">
        <v>4500000</v>
      </c>
      <c r="T3" s="3">
        <v>33600000</v>
      </c>
      <c r="U3" s="3">
        <v>3000000</v>
      </c>
      <c r="V3" s="3">
        <v>14000000</v>
      </c>
      <c r="W3" s="3">
        <v>28000000</v>
      </c>
      <c r="X3" s="2">
        <v>0.05</v>
      </c>
      <c r="Y3" t="s">
        <v>36</v>
      </c>
      <c r="Z3">
        <v>0.8</v>
      </c>
      <c r="AA3" s="3">
        <v>12000000</v>
      </c>
      <c r="AB3" s="2">
        <v>0.11</v>
      </c>
      <c r="AC3" t="s">
        <v>64</v>
      </c>
      <c r="AD3">
        <v>0.1</v>
      </c>
    </row>
    <row r="4" spans="1:30" x14ac:dyDescent="0.25">
      <c r="A4" t="s">
        <v>44</v>
      </c>
      <c r="B4" t="s">
        <v>45</v>
      </c>
      <c r="C4" t="s">
        <v>40</v>
      </c>
      <c r="D4">
        <v>80</v>
      </c>
      <c r="E4">
        <v>220</v>
      </c>
      <c r="F4" t="s">
        <v>46</v>
      </c>
      <c r="G4" t="s">
        <v>47</v>
      </c>
      <c r="H4" t="s">
        <v>48</v>
      </c>
      <c r="I4">
        <v>150000000</v>
      </c>
      <c r="J4">
        <v>0.85</v>
      </c>
      <c r="K4">
        <v>0.1</v>
      </c>
      <c r="L4">
        <v>0.15</v>
      </c>
      <c r="M4">
        <v>0.75</v>
      </c>
      <c r="N4">
        <v>0.9</v>
      </c>
      <c r="O4" s="3">
        <v>54000000</v>
      </c>
      <c r="P4" s="3">
        <v>6000000</v>
      </c>
      <c r="Q4" s="3">
        <v>22500000</v>
      </c>
      <c r="R4" s="3">
        <v>20000000</v>
      </c>
      <c r="S4" s="3">
        <v>5500000</v>
      </c>
      <c r="T4" s="3">
        <v>95600000</v>
      </c>
      <c r="U4" s="3">
        <v>8000000</v>
      </c>
      <c r="V4" s="3">
        <v>43000000</v>
      </c>
      <c r="W4" s="3">
        <v>48000000</v>
      </c>
      <c r="X4" s="2">
        <v>0.05</v>
      </c>
      <c r="Y4" t="s">
        <v>36</v>
      </c>
      <c r="Z4">
        <v>0.8</v>
      </c>
      <c r="AA4" s="3">
        <v>0</v>
      </c>
      <c r="AB4" s="2">
        <v>0.105</v>
      </c>
      <c r="AC4" t="s">
        <v>64</v>
      </c>
      <c r="AD4">
        <v>0</v>
      </c>
    </row>
    <row r="5" spans="1:30" x14ac:dyDescent="0.25">
      <c r="A5" t="s">
        <v>49</v>
      </c>
      <c r="B5" t="s">
        <v>50</v>
      </c>
      <c r="C5" t="s">
        <v>32</v>
      </c>
      <c r="D5">
        <v>150</v>
      </c>
      <c r="E5">
        <v>65</v>
      </c>
      <c r="F5" t="s">
        <v>51</v>
      </c>
      <c r="G5" t="s">
        <v>52</v>
      </c>
      <c r="H5" t="s">
        <v>53</v>
      </c>
      <c r="I5">
        <v>90000000</v>
      </c>
      <c r="J5">
        <v>0.2</v>
      </c>
      <c r="K5">
        <v>0.1</v>
      </c>
      <c r="L5">
        <v>0.15</v>
      </c>
      <c r="M5">
        <v>0.75</v>
      </c>
      <c r="N5">
        <v>0.6</v>
      </c>
      <c r="O5" s="3">
        <v>22800000</v>
      </c>
      <c r="P5" s="3">
        <v>15200000</v>
      </c>
      <c r="Q5" s="3">
        <v>72000000</v>
      </c>
      <c r="R5" s="3">
        <v>1800000</v>
      </c>
      <c r="S5" s="3">
        <v>2000000</v>
      </c>
      <c r="T5" s="3">
        <v>14000000</v>
      </c>
      <c r="U5" s="3">
        <v>400000</v>
      </c>
      <c r="V5" s="3">
        <v>20000000</v>
      </c>
      <c r="W5" s="3">
        <v>30400000</v>
      </c>
      <c r="X5" s="2">
        <v>0.05</v>
      </c>
      <c r="Y5" t="s">
        <v>36</v>
      </c>
      <c r="Z5">
        <v>0.8</v>
      </c>
      <c r="AA5" s="3">
        <v>18000000</v>
      </c>
      <c r="AB5" s="2">
        <v>0.11</v>
      </c>
      <c r="AC5" t="s">
        <v>64</v>
      </c>
      <c r="AD5">
        <v>0.2</v>
      </c>
    </row>
    <row r="6" spans="1:30" x14ac:dyDescent="0.25">
      <c r="A6" t="s">
        <v>54</v>
      </c>
      <c r="B6" t="s">
        <v>55</v>
      </c>
      <c r="C6" t="s">
        <v>40</v>
      </c>
      <c r="D6">
        <v>80</v>
      </c>
      <c r="E6">
        <v>110</v>
      </c>
      <c r="F6" t="s">
        <v>56</v>
      </c>
      <c r="G6" t="s">
        <v>51</v>
      </c>
      <c r="H6" t="s">
        <v>57</v>
      </c>
      <c r="I6">
        <v>75000000</v>
      </c>
      <c r="J6">
        <v>0.55000000000000004</v>
      </c>
      <c r="K6">
        <v>0.1</v>
      </c>
      <c r="L6">
        <v>0.2</v>
      </c>
      <c r="M6">
        <v>0.7</v>
      </c>
      <c r="N6">
        <v>0.2</v>
      </c>
      <c r="O6" s="3">
        <v>6000000</v>
      </c>
      <c r="P6" s="3">
        <v>24000000</v>
      </c>
      <c r="Q6" s="3">
        <v>33750000</v>
      </c>
      <c r="R6" s="3">
        <v>6000000</v>
      </c>
      <c r="S6" s="3">
        <v>6000000</v>
      </c>
      <c r="T6" s="3">
        <v>29000000</v>
      </c>
      <c r="U6" s="3">
        <v>5000000</v>
      </c>
      <c r="V6" s="3">
        <v>4000000</v>
      </c>
      <c r="W6" s="3">
        <v>24000000</v>
      </c>
      <c r="X6" s="2">
        <v>0.05</v>
      </c>
      <c r="Y6" t="s">
        <v>36</v>
      </c>
      <c r="Z6">
        <v>0.8</v>
      </c>
      <c r="AA6" s="3">
        <v>5000000</v>
      </c>
      <c r="AB6" s="2">
        <v>0.12</v>
      </c>
      <c r="AC6" t="s">
        <v>64</v>
      </c>
      <c r="AD6">
        <v>0.05</v>
      </c>
    </row>
    <row r="7" spans="1:30" x14ac:dyDescent="0.25">
      <c r="A7" t="s">
        <v>58</v>
      </c>
      <c r="B7" t="s">
        <v>59</v>
      </c>
      <c r="C7" t="s">
        <v>32</v>
      </c>
      <c r="D7">
        <v>150</v>
      </c>
      <c r="E7">
        <v>60</v>
      </c>
      <c r="F7" t="s">
        <v>60</v>
      </c>
      <c r="G7" t="s">
        <v>61</v>
      </c>
      <c r="H7" t="s">
        <v>62</v>
      </c>
      <c r="I7">
        <v>100000000</v>
      </c>
      <c r="J7">
        <v>0.4</v>
      </c>
      <c r="K7">
        <v>0.1</v>
      </c>
      <c r="L7">
        <v>0.15</v>
      </c>
      <c r="M7">
        <v>0.75</v>
      </c>
      <c r="N7">
        <v>0.8</v>
      </c>
      <c r="O7" s="3">
        <v>33600000</v>
      </c>
      <c r="P7" s="3">
        <v>8400000</v>
      </c>
      <c r="Q7" s="3">
        <v>60000000</v>
      </c>
      <c r="R7" s="3">
        <v>5000000</v>
      </c>
      <c r="S7" s="3">
        <v>3000000</v>
      </c>
      <c r="T7" s="3">
        <v>32000000</v>
      </c>
      <c r="U7" s="3">
        <v>50000</v>
      </c>
      <c r="V7" s="3">
        <v>30000000</v>
      </c>
      <c r="W7" s="3">
        <v>33600000</v>
      </c>
      <c r="X7" s="2">
        <v>0.05</v>
      </c>
      <c r="Y7" t="s">
        <v>36</v>
      </c>
      <c r="Z7">
        <v>0.8</v>
      </c>
      <c r="AA7" s="3">
        <v>20000000</v>
      </c>
      <c r="AB7" s="2">
        <v>0.13</v>
      </c>
      <c r="AC7" t="s">
        <v>64</v>
      </c>
      <c r="AD7">
        <v>0.3</v>
      </c>
    </row>
  </sheetData>
  <pageMargins left="0.7" right="0.7" top="0.75" bottom="0.75" header="0.3" footer="0.3"/>
  <ignoredErrors>
    <ignoredError sqref="A1:AD1 A4:W7 A2:W2 AD2 AD3:AD7 A3:W3 Y2:AA2 Y4:AA7 Y3:AA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B5" sqref="B5:D7"/>
    </sheetView>
  </sheetViews>
  <sheetFormatPr defaultRowHeight="15.75" x14ac:dyDescent="0.25"/>
  <cols>
    <col min="1" max="4" width="15.875" customWidth="1"/>
  </cols>
  <sheetData>
    <row r="1" spans="1:4" x14ac:dyDescent="0.25">
      <c r="A1" t="s">
        <v>63</v>
      </c>
      <c r="B1" t="s">
        <v>37</v>
      </c>
      <c r="C1" t="s">
        <v>36</v>
      </c>
      <c r="D1" t="s">
        <v>64</v>
      </c>
    </row>
    <row r="2" spans="1:4" x14ac:dyDescent="0.25">
      <c r="A2">
        <v>2026</v>
      </c>
      <c r="B2" s="1">
        <f>D2</f>
        <v>5.5E-2</v>
      </c>
      <c r="C2" s="1">
        <v>0.14499999999999999</v>
      </c>
      <c r="D2" s="1">
        <v>5.5E-2</v>
      </c>
    </row>
    <row r="3" spans="1:4" x14ac:dyDescent="0.25">
      <c r="A3">
        <v>2027</v>
      </c>
      <c r="B3" s="2">
        <f>D3</f>
        <v>0.05</v>
      </c>
      <c r="C3" s="1">
        <v>0.13500000000000001</v>
      </c>
      <c r="D3" s="2">
        <v>0.05</v>
      </c>
    </row>
    <row r="4" spans="1:4" x14ac:dyDescent="0.25">
      <c r="A4">
        <v>2028</v>
      </c>
      <c r="B4" s="2">
        <f>D4</f>
        <v>4.4999999999999998E-2</v>
      </c>
      <c r="C4" s="1">
        <v>0.13500000000000001</v>
      </c>
      <c r="D4" s="1">
        <v>4.4999999999999998E-2</v>
      </c>
    </row>
    <row r="5" spans="1:4" x14ac:dyDescent="0.25">
      <c r="A5">
        <f>A4+1</f>
        <v>2029</v>
      </c>
      <c r="B5" s="2">
        <f t="shared" ref="B5:B7" si="0">D5</f>
        <v>4.4999999999999998E-2</v>
      </c>
      <c r="C5" s="1">
        <v>0.13500000000000001</v>
      </c>
      <c r="D5" s="1">
        <v>4.4999999999999998E-2</v>
      </c>
    </row>
    <row r="6" spans="1:4" x14ac:dyDescent="0.25">
      <c r="A6">
        <f>A5+1</f>
        <v>2030</v>
      </c>
      <c r="B6" s="2">
        <f t="shared" si="0"/>
        <v>4.4999999999999998E-2</v>
      </c>
      <c r="C6" s="1">
        <v>0.13500000000000001</v>
      </c>
      <c r="D6" s="1">
        <v>4.4999999999999998E-2</v>
      </c>
    </row>
    <row r="7" spans="1:4" x14ac:dyDescent="0.25">
      <c r="A7">
        <f>A6+1</f>
        <v>2031</v>
      </c>
      <c r="B7" s="2">
        <f t="shared" si="0"/>
        <v>4.4999999999999998E-2</v>
      </c>
      <c r="C7" s="1">
        <v>0.13500000000000001</v>
      </c>
      <c r="D7" s="1">
        <v>4.4999999999999998E-2</v>
      </c>
    </row>
  </sheetData>
  <pageMargins left="0.7" right="0.7" top="0.75" bottom="0.75" header="0.3" footer="0.3"/>
  <ignoredErrors>
    <ignoredError sqref="A1:D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workbookViewId="0">
      <selection activeCell="B3" sqref="B3"/>
    </sheetView>
  </sheetViews>
  <sheetFormatPr defaultRowHeight="15.75" x14ac:dyDescent="0.25"/>
  <cols>
    <col min="1" max="1" width="35.875" customWidth="1"/>
    <col min="2" max="2" width="20.875" customWidth="1"/>
  </cols>
  <sheetData>
    <row r="1" spans="1:2" x14ac:dyDescent="0.25">
      <c r="A1" t="s">
        <v>65</v>
      </c>
      <c r="B1" t="s">
        <v>66</v>
      </c>
    </row>
    <row r="2" spans="1:2" x14ac:dyDescent="0.25">
      <c r="A2" t="s">
        <v>67</v>
      </c>
      <c r="B2" t="s">
        <v>68</v>
      </c>
    </row>
    <row r="3" spans="1:2" x14ac:dyDescent="0.25">
      <c r="A3" t="s">
        <v>69</v>
      </c>
      <c r="B3">
        <v>0.1</v>
      </c>
    </row>
    <row r="4" spans="1:2" x14ac:dyDescent="0.25">
      <c r="A4" t="s">
        <v>70</v>
      </c>
      <c r="B4">
        <v>1</v>
      </c>
    </row>
    <row r="5" spans="1:2" x14ac:dyDescent="0.25">
      <c r="A5" t="s">
        <v>71</v>
      </c>
      <c r="B5">
        <v>0.06</v>
      </c>
    </row>
  </sheetData>
  <pageMargins left="0.7" right="0.7" top="0.75" bottom="0.75" header="0.3" footer="0.3"/>
  <ignoredErrors>
    <ignoredError sqref="A1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Projetos</vt:lpstr>
      <vt:lpstr>Macros</vt:lpstr>
      <vt:lpstr>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Duarte de Oliveira</cp:lastModifiedBy>
  <dcterms:modified xsi:type="dcterms:W3CDTF">2026-04-03T03:41:52Z</dcterms:modified>
</cp:coreProperties>
</file>